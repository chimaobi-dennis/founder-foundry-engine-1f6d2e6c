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ction Costs" sheetId="2" state="visible" r:id="rId2"/>
    <sheet xmlns:r="http://schemas.openxmlformats.org/officeDocument/2006/relationships" name="Tiers" sheetId="3" state="visible" r:id="rId3"/>
    <sheet xmlns:r="http://schemas.openxmlformats.org/officeDocument/2006/relationships" name="Typical Month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00;($#,##0.0000);-"/>
    <numFmt numFmtId="165" formatCode="0.0&quot;x&quot;"/>
    <numFmt numFmtId="166" formatCode="0.0%;(0.0%);-"/>
    <numFmt numFmtId="167" formatCode="$#,##0.00;($#,##0.00);-"/>
    <numFmt numFmtId="168" formatCode="#,##0;(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666666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165" fontId="5" fillId="2" borderId="0" pivotButton="0" quotePrefix="0" xfId="0"/>
    <xf numFmtId="164" fontId="4" fillId="0" borderId="0" pivotButton="0" quotePrefix="0" xfId="0"/>
    <xf numFmtId="166" fontId="5" fillId="2" borderId="0" pivotButton="0" quotePrefix="0" xfId="0"/>
    <xf numFmtId="167" fontId="5" fillId="2" borderId="0" pivotButton="0" quotePrefix="0" xfId="0"/>
    <xf numFmtId="168" fontId="5" fillId="2" borderId="0" pivotButton="0" quotePrefix="0" xfId="0"/>
    <xf numFmtId="0" fontId="3" fillId="3" borderId="1" applyAlignment="1" pivotButton="0" quotePrefix="0" xfId="0">
      <alignment vertical="center" wrapText="1"/>
    </xf>
    <xf numFmtId="0" fontId="5" fillId="2" borderId="0" pivotButton="0" quotePrefix="0" xfId="0"/>
    <xf numFmtId="164" fontId="3" fillId="0" borderId="0" pivotButton="0" quotePrefix="0" xfId="0"/>
    <xf numFmtId="168" fontId="3" fillId="0" borderId="0" pivotButton="0" quotePrefix="0" xfId="0"/>
    <xf numFmtId="168" fontId="4" fillId="0" borderId="0" pivotButton="0" quotePrefix="0" xfId="0"/>
    <xf numFmtId="167" fontId="4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7" fillId="0" borderId="0" pivotButton="0" quotePrefix="0" xfId="0"/>
    <xf numFmtId="164" fontId="7" fillId="0" borderId="0" pivotButton="0" quotePrefix="0" xfId="0"/>
    <xf numFmtId="167" fontId="7" fillId="0" borderId="0" pivotButton="0" quotePrefix="0" xfId="0"/>
    <xf numFmtId="166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B19" authorId="0" shapeId="0">
      <text>
        <t>Model rates: Anthropic first-party API pricing as of Sept 2026. DeepInfra Llama 3.3 70B rate from team brainstorming note. Verify before launch.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F4" authorId="0" shapeId="0">
      <text>
        <t>Fast helper calls = extra fast-tier steps bundled into the action (critique, classify, memory write). Priced at the Fast step row.</t>
      </text>
    </comment>
    <comment ref="N4" authorId="0" shapeId="0">
      <text>
        <t>Range factor: metered actions are quoted as 'typically X, up to Y'. Credits (max) = what gets reserved before the run.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2" authorId="0" shapeId="0">
      <text>
        <t>Base infra + team members × infra per member (Inputs). Enterprise base is 0 because 20 members × $0.40 already covers it.</t>
      </text>
    </comment>
    <comment ref="A13" authorId="0" shapeId="0">
      <text>
        <t>Base overhead + team members × overhead steps per member (Inputs). Solo 175+25=200, Startup 225+75=300, Enterprise 100+500=600 at defaults.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Kinika pricing model — Inputs</t>
        </is>
      </c>
    </row>
    <row r="2">
      <c r="A2" s="2" t="inlineStr">
        <is>
          <t>Blue cells with yellow fill are editable assumptions. Everything else is a formula.</t>
        </is>
      </c>
    </row>
    <row r="4">
      <c r="A4" s="3" t="inlineStr">
        <is>
          <t>Credit economics</t>
        </is>
      </c>
    </row>
    <row r="5">
      <c r="A5" s="4" t="inlineStr">
        <is>
          <t>Credit retail price ($)</t>
        </is>
      </c>
      <c r="B5" s="5" t="n">
        <v>0.02</v>
      </c>
      <c r="E5" s="6" t="inlineStr">
        <is>
          <t>What a founder pays per credit via top-ups ($10 / 500).</t>
        </is>
      </c>
    </row>
    <row r="6">
      <c r="A6" s="4" t="inlineStr">
        <is>
          <t>COGS multiplier (retail ÷ COGS)</t>
        </is>
      </c>
      <c r="B6" s="7" t="n">
        <v>5</v>
      </c>
      <c r="E6" s="6" t="inlineStr">
        <is>
          <t>Markup on AI cost. 4x = 75% gross on credits before Stripe/infra.</t>
        </is>
      </c>
    </row>
    <row r="7">
      <c r="A7" s="4" t="inlineStr">
        <is>
          <t>Credit COGS ($)</t>
        </is>
      </c>
      <c r="B7" s="8">
        <f>B5/B6</f>
        <v/>
      </c>
      <c r="E7" s="6" t="inlineStr">
        <is>
          <t>Derived. Your real cost when a founder spends 1 credit.</t>
        </is>
      </c>
    </row>
    <row r="8">
      <c r="A8" s="4" t="inlineStr">
        <is>
          <t>Stripe % fee</t>
        </is>
      </c>
      <c r="B8" s="9" t="n">
        <v>0.029</v>
      </c>
      <c r="E8" s="6" t="inlineStr">
        <is>
          <t>Standard card rate.</t>
        </is>
      </c>
    </row>
    <row r="9">
      <c r="A9" s="4" t="inlineStr">
        <is>
          <t>Stripe fixed fee ($)</t>
        </is>
      </c>
      <c r="B9" s="10" t="n">
        <v>0.3</v>
      </c>
      <c r="E9" s="6" t="inlineStr">
        <is>
          <t>Per transaction.</t>
        </is>
      </c>
    </row>
    <row r="10">
      <c r="A10" s="4" t="inlineStr">
        <is>
          <t>Target gross margin</t>
        </is>
      </c>
      <c r="B10" s="9" t="n">
        <v>0.75</v>
      </c>
      <c r="E10" s="6" t="inlineStr">
        <is>
          <t>Used for the 'price needed' row on Tiers.</t>
        </is>
      </c>
    </row>
    <row r="12">
      <c r="A12" s="3" t="inlineStr">
        <is>
          <t>Token assumptions per LLM call</t>
        </is>
      </c>
    </row>
    <row r="13">
      <c r="A13" s="4" t="inlineStr">
        <is>
          <t>Context pack tokens (Brand DNA + memory)</t>
        </is>
      </c>
      <c r="B13" s="11" t="n">
        <v>6000</v>
      </c>
      <c r="E13" s="6" t="inlineStr">
        <is>
          <t>Sent on every agent step. Cached within a run.</t>
        </is>
      </c>
    </row>
    <row r="14">
      <c r="A14" s="4" t="inlineStr">
        <is>
          <t>Cache hit rate on context pack</t>
        </is>
      </c>
      <c r="B14" s="9" t="n">
        <v>0.9</v>
      </c>
      <c r="E14" s="6" t="inlineStr">
        <is>
          <t>Share of context-pack tokens served from prompt cache.</t>
        </is>
      </c>
    </row>
    <row r="15">
      <c r="A15" s="4" t="inlineStr">
        <is>
          <t>Step-specific input tokens</t>
        </is>
      </c>
      <c r="B15" s="11" t="n">
        <v>2000</v>
      </c>
      <c r="E15" s="6" t="inlineStr">
        <is>
          <t>Task brief, tool results, instructions.</t>
        </is>
      </c>
    </row>
    <row r="17">
      <c r="A17" s="3" t="inlineStr">
        <is>
          <t>Model rates ($ per 1M tokens)</t>
        </is>
      </c>
    </row>
    <row r="18">
      <c r="A18" s="12" t="inlineStr">
        <is>
          <t>Tier / model</t>
        </is>
      </c>
      <c r="B18" s="12" t="inlineStr">
        <is>
          <t>Input</t>
        </is>
      </c>
      <c r="C18" s="12" t="inlineStr">
        <is>
          <t>Output</t>
        </is>
      </c>
      <c r="D18" s="12" t="inlineStr">
        <is>
          <t>Cache read</t>
        </is>
      </c>
      <c r="E18" s="12" t="inlineStr">
        <is>
          <t>Note</t>
        </is>
      </c>
    </row>
    <row r="19">
      <c r="A19" s="13" t="inlineStr">
        <is>
          <t>Fast (Haiku 4.5)</t>
        </is>
      </c>
      <c r="B19" s="10" t="n">
        <v>1</v>
      </c>
      <c r="C19" s="10" t="n">
        <v>5</v>
      </c>
      <c r="D19" s="10" t="n">
        <v>0.1</v>
      </c>
      <c r="E19" s="6" t="inlineStr">
        <is>
          <t>Anthropic first-party rates.</t>
        </is>
      </c>
    </row>
    <row r="20">
      <c r="A20" s="13" t="inlineStr">
        <is>
          <t>Fast-open (Llama 3.3 70B, DeepInfra)</t>
        </is>
      </c>
      <c r="B20" s="10" t="n">
        <v>0.1</v>
      </c>
      <c r="C20" s="10" t="n">
        <v>0.32</v>
      </c>
      <c r="D20" s="10" t="n">
        <v>0.1</v>
      </c>
      <c r="E20" s="6" t="inlineStr">
        <is>
          <t>No prompt cache; cache rate set = input rate.</t>
        </is>
      </c>
    </row>
    <row r="21">
      <c r="A21" s="13" t="inlineStr">
        <is>
          <t>Standard (Sonnet 5.5)</t>
        </is>
      </c>
      <c r="B21" s="10" t="n">
        <v>2</v>
      </c>
      <c r="C21" s="10" t="n">
        <v>10</v>
      </c>
      <c r="D21" s="10" t="n">
        <v>0.2</v>
      </c>
      <c r="E21" s="6" t="inlineStr">
        <is>
          <t>Anthropic first-party rates.</t>
        </is>
      </c>
    </row>
    <row r="22">
      <c r="A22" s="13" t="inlineStr">
        <is>
          <t>Reasoning (Opus 5.5)</t>
        </is>
      </c>
      <c r="B22" s="10" t="n">
        <v>4</v>
      </c>
      <c r="C22" s="10" t="n">
        <v>20</v>
      </c>
      <c r="D22" s="10" t="n">
        <v>0.2</v>
      </c>
      <c r="E22" s="6" t="inlineStr">
        <is>
          <t>Anthropic first-party rates.</t>
        </is>
      </c>
    </row>
    <row r="24">
      <c r="A24" s="3" t="inlineStr">
        <is>
          <t>Media generation ($ per asset)</t>
        </is>
      </c>
    </row>
    <row r="25">
      <c r="A25" s="4" t="inlineStr">
        <is>
          <t>Image generation</t>
        </is>
      </c>
      <c r="B25" s="10" t="n">
        <v>0.05</v>
      </c>
      <c r="E25" s="6" t="inlineStr">
        <is>
          <t>Mid-tier image model. Estimate — replace with your provider's rate.</t>
        </is>
      </c>
    </row>
    <row r="26">
      <c r="A26" s="4" t="inlineStr">
        <is>
          <t>Short video clip</t>
        </is>
      </c>
      <c r="B26" s="10" t="n">
        <v>0.5</v>
      </c>
      <c r="E26" s="6" t="inlineStr">
        <is>
          <t>Estimate — highly provider dependent.</t>
        </is>
      </c>
    </row>
    <row r="27">
      <c r="A27" s="4" t="inlineStr">
        <is>
          <t>Code run extras (build / preview deploy)</t>
        </is>
      </c>
      <c r="B27" s="10" t="n">
        <v>0</v>
      </c>
      <c r="E27" s="6" t="inlineStr">
        <is>
          <t>Vercel/Netlify preview builds are usually free at this scale.</t>
        </is>
      </c>
    </row>
    <row r="29">
      <c r="A29" s="3" t="inlineStr">
        <is>
          <t>Overhead steps (planner, approvals, digest, memory write-back)</t>
        </is>
      </c>
    </row>
    <row r="30">
      <c r="A30" s="4" t="inlineStr">
        <is>
          <t>Overhead model</t>
        </is>
      </c>
      <c r="B30" s="13" t="inlineStr">
        <is>
          <t>Fast (Haiku 4.5)</t>
        </is>
      </c>
      <c r="E30" s="6" t="inlineStr">
        <is>
          <t>Type a model name exactly as in the table above. Try 'Fast-open (Llama 3.3 70B, DeepInfra)'.</t>
        </is>
      </c>
    </row>
    <row r="31">
      <c r="A31" s="4" t="inlineStr">
        <is>
          <t>Output tokens per overhead step</t>
        </is>
      </c>
      <c r="B31" s="11" t="n">
        <v>500</v>
      </c>
    </row>
    <row r="32">
      <c r="A32" s="4" t="inlineStr">
        <is>
          <t>Overhead step COGS ($)</t>
        </is>
      </c>
      <c r="B32" s="8">
        <f>(B13*B14*INDEX($D$19:$D$22,MATCH(B30,$A$19:$A$22,0))+B13*(1-B14)*INDEX($B$19:$B$22,MATCH(B30,$A$19:$A$22,0))+B15*INDEX($B$19:$B$22,MATCH(B30,$A$19:$A$22,0)))/1000000+B31*INDEX($C$19:$C$22,MATCH(B30,$A$19:$A$22,0))/1000000</f>
        <v/>
      </c>
      <c r="E32" s="6" t="inlineStr">
        <is>
          <t>Derived. Multiplied by overhead steps/month on the Tiers sheet.</t>
        </is>
      </c>
    </row>
    <row r="34">
      <c r="A34" s="3" t="inlineStr">
        <is>
          <t>Team members</t>
        </is>
      </c>
    </row>
    <row r="35">
      <c r="A35" s="4" t="inlineStr">
        <is>
          <t>Infra per team member ($/month)</t>
        </is>
      </c>
      <c r="B35" s="10" t="n">
        <v>0.4</v>
      </c>
      <c r="E35" s="6" t="inlineStr">
        <is>
          <t>Auth, storage, realtime, email per human seat. Team members share the workspace credit pool; no credits included per member.</t>
        </is>
      </c>
    </row>
    <row r="36">
      <c r="A36" s="4" t="inlineStr">
        <is>
          <t>Overhead steps per team member / month</t>
        </is>
      </c>
      <c r="B36" s="11" t="n">
        <v>25</v>
      </c>
      <c r="E36" s="6" t="inlineStr">
        <is>
          <t>Each human seat triggers its own planner/digest/memory steps. Added to the tier's base overhead on Tiers.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Cost and credit price per action</t>
        </is>
      </c>
    </row>
    <row r="2">
      <c r="A2" s="2" t="inlineStr">
        <is>
          <t>Blue = assumption per action. COGS and credits are formulas driven by Inputs. These rows become the initial pricing_rules table.</t>
        </is>
      </c>
    </row>
    <row r="4">
      <c r="A4" s="12" t="inlineStr">
        <is>
          <t>Action</t>
        </is>
      </c>
      <c r="B4" s="12" t="inlineStr">
        <is>
          <t>Model (LLM step)</t>
        </is>
      </c>
      <c r="C4" s="12" t="inlineStr">
        <is>
          <t>Extra input tokens</t>
        </is>
      </c>
      <c r="D4" s="12" t="inlineStr">
        <is>
          <t>Output tokens</t>
        </is>
      </c>
      <c r="E4" s="12" t="inlineStr">
        <is>
          <t>LLM calls</t>
        </is>
      </c>
      <c r="F4" s="12" t="inlineStr">
        <is>
          <t>Fast helper calls</t>
        </is>
      </c>
      <c r="G4" s="12" t="inlineStr">
        <is>
          <t>Images</t>
        </is>
      </c>
      <c r="H4" s="12" t="inlineStr">
        <is>
          <t>Videos</t>
        </is>
      </c>
      <c r="I4" s="12" t="inlineStr">
        <is>
          <t>LLM COGS ($)</t>
        </is>
      </c>
      <c r="J4" s="12" t="inlineStr">
        <is>
          <t>Helper COGS ($)</t>
        </is>
      </c>
      <c r="K4" s="12" t="inlineStr">
        <is>
          <t>Media COGS ($)</t>
        </is>
      </c>
      <c r="L4" s="12" t="inlineStr">
        <is>
          <t>Total COGS ($)</t>
        </is>
      </c>
      <c r="M4" s="12" t="inlineStr">
        <is>
          <t>Credits</t>
        </is>
      </c>
      <c r="N4" s="12" t="inlineStr">
        <is>
          <t>Range factor</t>
        </is>
      </c>
      <c r="O4" s="12" t="inlineStr">
        <is>
          <t>Credits (max)</t>
        </is>
      </c>
    </row>
    <row r="5">
      <c r="A5" s="4" t="inlineStr">
        <is>
          <t>Fast step (classify / summarize)</t>
        </is>
      </c>
      <c r="B5" s="13" t="inlineStr">
        <is>
          <t>Fast (Haiku 4.5)</t>
        </is>
      </c>
      <c r="C5" s="11" t="n">
        <v>0</v>
      </c>
      <c r="D5" s="11" t="n">
        <v>500</v>
      </c>
      <c r="E5" s="11" t="n">
        <v>1</v>
      </c>
      <c r="F5" s="11" t="n">
        <v>0</v>
      </c>
      <c r="G5" s="11" t="n">
        <v>0</v>
      </c>
      <c r="H5" s="11" t="n">
        <v>0</v>
      </c>
      <c r="I5" s="8">
        <f>E5*((Inputs!$B$13*Inputs!$B$14*INDEX(Inputs!$D$19:$D$22,MATCH(B5,Inputs!$A$19:$A$22,0))+Inputs!$B$13*(1-Inputs!$B$14)*INDEX(Inputs!$B$19:$B$22,MATCH(B5,Inputs!$A$19:$A$22,0))+(Inputs!$B$15+C5)*INDEX(Inputs!$B$19:$B$22,MATCH(B5,Inputs!$A$19:$A$22,0)))/1000000+D5*INDEX(Inputs!$C$19:$C$22,MATCH(B5,Inputs!$A$19:$A$22,0))/1000000)</f>
        <v/>
      </c>
      <c r="J5" s="8">
        <f>F5*$I$5</f>
        <v/>
      </c>
      <c r="K5" s="8">
        <f>G5*Inputs!$B$25+H5*Inputs!$B$26+IF(B5="Reasoning (Opus 5.5)",Inputs!$B$27,0)</f>
        <v/>
      </c>
      <c r="L5" s="14">
        <f>I5+J5+K5</f>
        <v/>
      </c>
      <c r="M5" s="15">
        <f>ROUNDUP(L5/Inputs!$B$7,0)</f>
        <v/>
      </c>
      <c r="N5" s="7" t="n">
        <v>1</v>
      </c>
      <c r="O5" s="16">
        <f>ROUNDUP(L5*N5/Inputs!$B$7,0)</f>
        <v/>
      </c>
    </row>
    <row r="6">
      <c r="A6" s="4" t="inlineStr">
        <is>
          <t>Caption / short copy</t>
        </is>
      </c>
      <c r="B6" s="13" t="inlineStr">
        <is>
          <t>Standard (Sonnet 5.5)</t>
        </is>
      </c>
      <c r="C6" s="11" t="n">
        <v>0</v>
      </c>
      <c r="D6" s="11" t="n">
        <v>1500</v>
      </c>
      <c r="E6" s="11" t="n">
        <v>1</v>
      </c>
      <c r="F6" s="11" t="n">
        <v>0</v>
      </c>
      <c r="G6" s="11" t="n">
        <v>0</v>
      </c>
      <c r="H6" s="11" t="n">
        <v>0</v>
      </c>
      <c r="I6" s="8">
        <f>E6*((Inputs!$B$13*Inputs!$B$14*INDEX(Inputs!$D$19:$D$22,MATCH(B6,Inputs!$A$19:$A$22,0))+Inputs!$B$13*(1-Inputs!$B$14)*INDEX(Inputs!$B$19:$B$22,MATCH(B6,Inputs!$A$19:$A$22,0))+(Inputs!$B$15+C6)*INDEX(Inputs!$B$19:$B$22,MATCH(B6,Inputs!$A$19:$A$22,0)))/1000000+D6*INDEX(Inputs!$C$19:$C$22,MATCH(B6,Inputs!$A$19:$A$22,0))/1000000)</f>
        <v/>
      </c>
      <c r="J6" s="8">
        <f>F6*$I$5</f>
        <v/>
      </c>
      <c r="K6" s="8">
        <f>G6*Inputs!$B$25+H6*Inputs!$B$26+IF(B6="Reasoning (Opus 5.5)",Inputs!$B$27,0)</f>
        <v/>
      </c>
      <c r="L6" s="14">
        <f>I6+J6+K6</f>
        <v/>
      </c>
      <c r="M6" s="15">
        <f>ROUNDUP(L6/Inputs!$B$7,0)</f>
        <v/>
      </c>
      <c r="N6" s="7" t="n">
        <v>1</v>
      </c>
      <c r="O6" s="16">
        <f>ROUNDUP(L6*N6/Inputs!$B$7,0)</f>
        <v/>
      </c>
    </row>
    <row r="7">
      <c r="A7" s="4" t="inlineStr">
        <is>
          <t>Product SEO refresh (per product)</t>
        </is>
      </c>
      <c r="B7" s="13" t="inlineStr">
        <is>
          <t>Standard (Sonnet 5.5)</t>
        </is>
      </c>
      <c r="C7" s="11" t="n">
        <v>0</v>
      </c>
      <c r="D7" s="11" t="n">
        <v>500</v>
      </c>
      <c r="E7" s="11" t="n">
        <v>1</v>
      </c>
      <c r="F7" s="11" t="n">
        <v>1</v>
      </c>
      <c r="G7" s="11" t="n">
        <v>0</v>
      </c>
      <c r="H7" s="11" t="n">
        <v>0</v>
      </c>
      <c r="I7" s="8">
        <f>E7*((Inputs!$B$13*Inputs!$B$14*INDEX(Inputs!$D$19:$D$22,MATCH(B7,Inputs!$A$19:$A$22,0))+Inputs!$B$13*(1-Inputs!$B$14)*INDEX(Inputs!$B$19:$B$22,MATCH(B7,Inputs!$A$19:$A$22,0))+(Inputs!$B$15+C7)*INDEX(Inputs!$B$19:$B$22,MATCH(B7,Inputs!$A$19:$A$22,0)))/1000000+D7*INDEX(Inputs!$C$19:$C$22,MATCH(B7,Inputs!$A$19:$A$22,0))/1000000)</f>
        <v/>
      </c>
      <c r="J7" s="8">
        <f>F7*$I$5</f>
        <v/>
      </c>
      <c r="K7" s="8">
        <f>G7*Inputs!$B$25+H7*Inputs!$B$26+IF(B7="Reasoning (Opus 5.5)",Inputs!$B$27,0)</f>
        <v/>
      </c>
      <c r="L7" s="14">
        <f>I7+J7+K7</f>
        <v/>
      </c>
      <c r="M7" s="15">
        <f>ROUNDUP(L7/Inputs!$B$7,0)</f>
        <v/>
      </c>
      <c r="N7" s="7" t="n">
        <v>1</v>
      </c>
      <c r="O7" s="16">
        <f>ROUNDUP(L7*N7/Inputs!$B$7,0)</f>
        <v/>
      </c>
    </row>
    <row r="8">
      <c r="A8" s="4" t="inlineStr">
        <is>
          <t>Blog post</t>
        </is>
      </c>
      <c r="B8" s="13" t="inlineStr">
        <is>
          <t>Standard (Sonnet 5.5)</t>
        </is>
      </c>
      <c r="C8" s="11" t="n">
        <v>2000</v>
      </c>
      <c r="D8" s="11" t="n">
        <v>3000</v>
      </c>
      <c r="E8" s="11" t="n">
        <v>1</v>
      </c>
      <c r="F8" s="11" t="n">
        <v>1</v>
      </c>
      <c r="G8" s="11" t="n">
        <v>0</v>
      </c>
      <c r="H8" s="11" t="n">
        <v>0</v>
      </c>
      <c r="I8" s="8">
        <f>E8*((Inputs!$B$13*Inputs!$B$14*INDEX(Inputs!$D$19:$D$22,MATCH(B8,Inputs!$A$19:$A$22,0))+Inputs!$B$13*(1-Inputs!$B$14)*INDEX(Inputs!$B$19:$B$22,MATCH(B8,Inputs!$A$19:$A$22,0))+(Inputs!$B$15+C8)*INDEX(Inputs!$B$19:$B$22,MATCH(B8,Inputs!$A$19:$A$22,0)))/1000000+D8*INDEX(Inputs!$C$19:$C$22,MATCH(B8,Inputs!$A$19:$A$22,0))/1000000)</f>
        <v/>
      </c>
      <c r="J8" s="8">
        <f>F8*$I$5</f>
        <v/>
      </c>
      <c r="K8" s="8">
        <f>G8*Inputs!$B$25+H8*Inputs!$B$26+IF(B8="Reasoning (Opus 5.5)",Inputs!$B$27,0)</f>
        <v/>
      </c>
      <c r="L8" s="14">
        <f>I8+J8+K8</f>
        <v/>
      </c>
      <c r="M8" s="15">
        <f>ROUNDUP(L8/Inputs!$B$7,0)</f>
        <v/>
      </c>
      <c r="N8" s="7" t="n">
        <v>1</v>
      </c>
      <c r="O8" s="16">
        <f>ROUNDUP(L8*N8/Inputs!$B$7,0)</f>
        <v/>
      </c>
    </row>
    <row r="9">
      <c r="A9" s="4" t="inlineStr">
        <is>
          <t>Designed social post</t>
        </is>
      </c>
      <c r="B9" s="13" t="inlineStr">
        <is>
          <t>Standard (Sonnet 5.5)</t>
        </is>
      </c>
      <c r="C9" s="11" t="n">
        <v>0</v>
      </c>
      <c r="D9" s="11" t="n">
        <v>1500</v>
      </c>
      <c r="E9" s="11" t="n">
        <v>1</v>
      </c>
      <c r="F9" s="11" t="n">
        <v>1</v>
      </c>
      <c r="G9" s="11" t="n">
        <v>1</v>
      </c>
      <c r="H9" s="11" t="n">
        <v>0</v>
      </c>
      <c r="I9" s="8">
        <f>E9*((Inputs!$B$13*Inputs!$B$14*INDEX(Inputs!$D$19:$D$22,MATCH(B9,Inputs!$A$19:$A$22,0))+Inputs!$B$13*(1-Inputs!$B$14)*INDEX(Inputs!$B$19:$B$22,MATCH(B9,Inputs!$A$19:$A$22,0))+(Inputs!$B$15+C9)*INDEX(Inputs!$B$19:$B$22,MATCH(B9,Inputs!$A$19:$A$22,0)))/1000000+D9*INDEX(Inputs!$C$19:$C$22,MATCH(B9,Inputs!$A$19:$A$22,0))/1000000)</f>
        <v/>
      </c>
      <c r="J9" s="8">
        <f>F9*$I$5</f>
        <v/>
      </c>
      <c r="K9" s="8">
        <f>G9*Inputs!$B$25+H9*Inputs!$B$26+IF(B9="Reasoning (Opus 5.5)",Inputs!$B$27,0)</f>
        <v/>
      </c>
      <c r="L9" s="14">
        <f>I9+J9+K9</f>
        <v/>
      </c>
      <c r="M9" s="15">
        <f>ROUNDUP(L9/Inputs!$B$7,0)</f>
        <v/>
      </c>
      <c r="N9" s="7" t="n">
        <v>1</v>
      </c>
      <c r="O9" s="16">
        <f>ROUNDUP(L9*N9/Inputs!$B$7,0)</f>
        <v/>
      </c>
    </row>
    <row r="10">
      <c r="A10" s="4" t="inlineStr">
        <is>
          <t>Short video</t>
        </is>
      </c>
      <c r="B10" s="13" t="inlineStr">
        <is>
          <t>Standard (Sonnet 5.5)</t>
        </is>
      </c>
      <c r="C10" s="11" t="n">
        <v>0</v>
      </c>
      <c r="D10" s="11" t="n">
        <v>500</v>
      </c>
      <c r="E10" s="11" t="n">
        <v>1</v>
      </c>
      <c r="F10" s="11" t="n">
        <v>0</v>
      </c>
      <c r="G10" s="11" t="n">
        <v>0</v>
      </c>
      <c r="H10" s="11" t="n">
        <v>1</v>
      </c>
      <c r="I10" s="8">
        <f>E10*((Inputs!$B$13*Inputs!$B$14*INDEX(Inputs!$D$19:$D$22,MATCH(B10,Inputs!$A$19:$A$22,0))+Inputs!$B$13*(1-Inputs!$B$14)*INDEX(Inputs!$B$19:$B$22,MATCH(B10,Inputs!$A$19:$A$22,0))+(Inputs!$B$15+C10)*INDEX(Inputs!$B$19:$B$22,MATCH(B10,Inputs!$A$19:$A$22,0)))/1000000+D10*INDEX(Inputs!$C$19:$C$22,MATCH(B10,Inputs!$A$19:$A$22,0))/1000000)</f>
        <v/>
      </c>
      <c r="J10" s="8">
        <f>F10*$I$5</f>
        <v/>
      </c>
      <c r="K10" s="8">
        <f>G10*Inputs!$B$25+H10*Inputs!$B$26+IF(B10="Reasoning (Opus 5.5)",Inputs!$B$27,0)</f>
        <v/>
      </c>
      <c r="L10" s="14">
        <f>I10+J10+K10</f>
        <v/>
      </c>
      <c r="M10" s="15">
        <f>ROUNDUP(L10/Inputs!$B$7,0)</f>
        <v/>
      </c>
      <c r="N10" s="7" t="n">
        <v>1</v>
      </c>
      <c r="O10" s="16">
        <f>ROUNDUP(L10*N10/Inputs!$B$7,0)</f>
        <v/>
      </c>
    </row>
    <row r="11">
      <c r="A11" s="4" t="inlineStr">
        <is>
          <t>Code change (PR)</t>
        </is>
      </c>
      <c r="B11" s="13" t="inlineStr">
        <is>
          <t>Reasoning (Opus 5.5)</t>
        </is>
      </c>
      <c r="C11" s="11" t="n">
        <v>52000</v>
      </c>
      <c r="D11" s="11" t="n">
        <v>15000</v>
      </c>
      <c r="E11" s="11" t="n">
        <v>1</v>
      </c>
      <c r="F11" s="11" t="n">
        <v>2</v>
      </c>
      <c r="G11" s="11" t="n">
        <v>0</v>
      </c>
      <c r="H11" s="11" t="n">
        <v>0</v>
      </c>
      <c r="I11" s="8">
        <f>E11*((Inputs!$B$13*Inputs!$B$14*INDEX(Inputs!$D$19:$D$22,MATCH(B11,Inputs!$A$19:$A$22,0))+Inputs!$B$13*(1-Inputs!$B$14)*INDEX(Inputs!$B$19:$B$22,MATCH(B11,Inputs!$A$19:$A$22,0))+(Inputs!$B$15+C11)*INDEX(Inputs!$B$19:$B$22,MATCH(B11,Inputs!$A$19:$A$22,0)))/1000000+D11*INDEX(Inputs!$C$19:$C$22,MATCH(B11,Inputs!$A$19:$A$22,0))/1000000)</f>
        <v/>
      </c>
      <c r="J11" s="8">
        <f>F11*$I$5</f>
        <v/>
      </c>
      <c r="K11" s="8">
        <f>G11*Inputs!$B$25+H11*Inputs!$B$26+IF(B11="Reasoning (Opus 5.5)",Inputs!$B$27,0)</f>
        <v/>
      </c>
      <c r="L11" s="14">
        <f>I11+J11+K11</f>
        <v/>
      </c>
      <c r="M11" s="15">
        <f>ROUNDUP(L11/Inputs!$B$7,0)</f>
        <v/>
      </c>
      <c r="N11" s="7" t="n">
        <v>2</v>
      </c>
      <c r="O11" s="16">
        <f>ROUNDUP(L11*N11/Inputs!$B$7,0)</f>
        <v/>
      </c>
    </row>
    <row r="13">
      <c r="A13" s="6" t="inlineStr">
        <is>
          <t>Code change assumption: ~52k extra input tokens for reading repo files across turns, 15k output. Realistic range $0.40–1.50 per run, hence range factor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Tier economics</t>
        </is>
      </c>
    </row>
    <row r="2">
      <c r="A2" s="2" t="inlineStr">
        <is>
          <t>Blue = plan design levers. Worst case = founder spends every included credit. Typical = usage % below.</t>
        </is>
      </c>
    </row>
    <row r="4">
      <c r="A4" s="12" t="inlineStr"/>
      <c r="B4" s="12" t="inlineStr">
        <is>
          <t>Solo</t>
        </is>
      </c>
      <c r="C4" s="12" t="inlineStr">
        <is>
          <t>Startup</t>
        </is>
      </c>
      <c r="D4" s="12" t="inlineStr">
        <is>
          <t>Enterprise</t>
        </is>
      </c>
      <c r="E4" s="12" t="inlineStr">
        <is>
          <t>Extra agent seat</t>
        </is>
      </c>
      <c r="F4" s="12" t="inlineStr">
        <is>
          <t>Extra team member</t>
        </is>
      </c>
      <c r="G4" s="12" t="inlineStr">
        <is>
          <t>Top-up $10</t>
        </is>
      </c>
      <c r="H4" s="12" t="inlineStr">
        <is>
          <t>Top-up $20</t>
        </is>
      </c>
      <c r="I4" s="12" t="inlineStr">
        <is>
          <t>Top-up $50</t>
        </is>
      </c>
    </row>
    <row r="5">
      <c r="A5" s="4" t="inlineStr">
        <is>
          <t>Price ($/month)</t>
        </is>
      </c>
      <c r="B5" s="10" t="n">
        <v>20</v>
      </c>
      <c r="C5" s="10" t="n">
        <v>45</v>
      </c>
      <c r="D5" s="10" t="n">
        <v>139</v>
      </c>
      <c r="E5" s="10" t="n">
        <v>10</v>
      </c>
      <c r="F5" s="10" t="n">
        <v>5</v>
      </c>
      <c r="G5" s="10" t="n">
        <v>10</v>
      </c>
      <c r="H5" s="10" t="n">
        <v>20</v>
      </c>
      <c r="I5" s="10" t="n">
        <v>50</v>
      </c>
    </row>
    <row r="6">
      <c r="A6" s="4" t="inlineStr">
        <is>
          <t>Credits included</t>
        </is>
      </c>
      <c r="B6" s="11" t="n">
        <v>1000</v>
      </c>
      <c r="C6" s="11" t="n">
        <v>2000</v>
      </c>
      <c r="D6" s="11" t="n">
        <v>6000</v>
      </c>
      <c r="E6" s="11" t="n">
        <v>250</v>
      </c>
      <c r="F6" s="11" t="n">
        <v>0</v>
      </c>
      <c r="G6" s="11" t="n">
        <v>500</v>
      </c>
      <c r="H6" s="11" t="n">
        <v>1000</v>
      </c>
      <c r="I6" s="11" t="n">
        <v>2750</v>
      </c>
    </row>
    <row r="7">
      <c r="A7" s="4" t="inlineStr">
        <is>
          <t>Active agents</t>
        </is>
      </c>
      <c r="B7" s="11" t="n">
        <v>2</v>
      </c>
      <c r="C7" s="11" t="n">
        <v>5</v>
      </c>
      <c r="D7" s="11" t="n">
        <v>10</v>
      </c>
      <c r="E7" s="11" t="n">
        <v>1</v>
      </c>
      <c r="F7" s="11" t="n">
        <v>0</v>
      </c>
      <c r="G7" s="11" t="n">
        <v>0</v>
      </c>
      <c r="H7" s="11" t="n">
        <v>0</v>
      </c>
      <c r="I7" s="11" t="n">
        <v>0</v>
      </c>
    </row>
    <row r="8">
      <c r="A8" s="4" t="inlineStr">
        <is>
          <t>Team members included</t>
        </is>
      </c>
      <c r="B8" s="11" t="n">
        <v>1</v>
      </c>
      <c r="C8" s="11" t="n">
        <v>3</v>
      </c>
      <c r="D8" s="11" t="n">
        <v>20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</row>
    <row r="9">
      <c r="A9" s="4" t="inlineStr">
        <is>
          <t>Base infra ($/month)</t>
        </is>
      </c>
      <c r="B9" s="10" t="n">
        <v>1.1</v>
      </c>
      <c r="C9" s="10" t="n">
        <v>1.8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</row>
    <row r="10">
      <c r="A10" s="4" t="inlineStr">
        <is>
          <t>Base overhead steps / month</t>
        </is>
      </c>
      <c r="B10" s="11" t="n">
        <v>175</v>
      </c>
      <c r="C10" s="11" t="n">
        <v>225</v>
      </c>
      <c r="D10" s="11" t="n">
        <v>100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</row>
    <row r="11">
      <c r="A11" s="4" t="inlineStr">
        <is>
          <t>Typical usage (% of credits)</t>
        </is>
      </c>
      <c r="B11" s="9" t="n">
        <v>0.6</v>
      </c>
      <c r="C11" s="9" t="n">
        <v>0.6</v>
      </c>
      <c r="D11" s="9" t="n">
        <v>0.6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</row>
    <row r="12">
      <c r="A12" s="4" t="inlineStr">
        <is>
          <t>Infra share ($/month)</t>
        </is>
      </c>
      <c r="B12" s="17">
        <f>B9+B8*Inputs!$B$35</f>
        <v/>
      </c>
      <c r="C12" s="17">
        <f>C9+C8*Inputs!$B$35</f>
        <v/>
      </c>
      <c r="D12" s="17">
        <f>D9+D8*Inputs!$B$35</f>
        <v/>
      </c>
      <c r="E12" s="17">
        <f>E9+E8*Inputs!$B$35</f>
        <v/>
      </c>
      <c r="F12" s="17">
        <f>F9+F8*Inputs!$B$35</f>
        <v/>
      </c>
      <c r="G12" s="17">
        <f>G9+G8*Inputs!$B$35</f>
        <v/>
      </c>
      <c r="H12" s="17">
        <f>H9+H8*Inputs!$B$35</f>
        <v/>
      </c>
      <c r="I12" s="17">
        <f>I9+I8*Inputs!$B$35</f>
        <v/>
      </c>
    </row>
    <row r="13">
      <c r="A13" s="4" t="inlineStr">
        <is>
          <t>Overhead steps / month</t>
        </is>
      </c>
      <c r="B13" s="16">
        <f>B10+B8*Inputs!$B$36</f>
        <v/>
      </c>
      <c r="C13" s="16">
        <f>C10+C8*Inputs!$B$36</f>
        <v/>
      </c>
      <c r="D13" s="16">
        <f>D10+D8*Inputs!$B$36</f>
        <v/>
      </c>
      <c r="E13" s="16">
        <f>E10+E8*Inputs!$B$36</f>
        <v/>
      </c>
      <c r="F13" s="16">
        <f>F10+F8*Inputs!$B$36</f>
        <v/>
      </c>
      <c r="G13" s="16">
        <f>G10+G8*Inputs!$B$36</f>
        <v/>
      </c>
      <c r="H13" s="16">
        <f>H10+H8*Inputs!$B$36</f>
        <v/>
      </c>
      <c r="I13" s="16">
        <f>I10+I8*Inputs!$B$36</f>
        <v/>
      </c>
    </row>
    <row r="14">
      <c r="A14" s="3" t="inlineStr">
        <is>
          <t>Costs</t>
        </is>
      </c>
    </row>
    <row r="15">
      <c r="A15" s="4" t="inlineStr">
        <is>
          <t>Stripe fee ($)</t>
        </is>
      </c>
      <c r="B15" s="17">
        <f>B5*Inputs!$B$8+Inputs!$B$9</f>
        <v/>
      </c>
      <c r="C15" s="17">
        <f>C5*Inputs!$B$8+Inputs!$B$9</f>
        <v/>
      </c>
      <c r="D15" s="17">
        <f>D5*Inputs!$B$8+Inputs!$B$9</f>
        <v/>
      </c>
      <c r="E15" s="17">
        <f>E5*Inputs!$B$8+Inputs!$B$9</f>
        <v/>
      </c>
      <c r="F15" s="17">
        <f>F5*Inputs!$B$8+Inputs!$B$9</f>
        <v/>
      </c>
      <c r="G15" s="17">
        <f>G5*Inputs!$B$8+Inputs!$B$9</f>
        <v/>
      </c>
      <c r="H15" s="17">
        <f>H5*Inputs!$B$8+Inputs!$B$9</f>
        <v/>
      </c>
      <c r="I15" s="17">
        <f>I5*Inputs!$B$8+Inputs!$B$9</f>
        <v/>
      </c>
    </row>
    <row r="16">
      <c r="A16" s="4" t="inlineStr">
        <is>
          <t>Overhead COGS ($)</t>
        </is>
      </c>
      <c r="B16" s="17">
        <f>B13*Inputs!$B$32</f>
        <v/>
      </c>
      <c r="C16" s="17">
        <f>C13*Inputs!$B$32</f>
        <v/>
      </c>
      <c r="D16" s="17">
        <f>D13*Inputs!$B$32</f>
        <v/>
      </c>
      <c r="E16" s="17">
        <f>E13*Inputs!$B$32</f>
        <v/>
      </c>
      <c r="F16" s="17">
        <f>F13*Inputs!$B$32</f>
        <v/>
      </c>
      <c r="G16" s="17">
        <f>G13*Inputs!$B$32</f>
        <v/>
      </c>
      <c r="H16" s="17">
        <f>H13*Inputs!$B$32</f>
        <v/>
      </c>
      <c r="I16" s="17">
        <f>I13*Inputs!$B$32</f>
        <v/>
      </c>
    </row>
    <row r="17">
      <c r="A17" s="4" t="inlineStr">
        <is>
          <t>Worst-case AI COGS ($)</t>
        </is>
      </c>
      <c r="B17" s="17">
        <f>B6*Inputs!$B$7</f>
        <v/>
      </c>
      <c r="C17" s="17">
        <f>C6*Inputs!$B$7</f>
        <v/>
      </c>
      <c r="D17" s="17">
        <f>D6*Inputs!$B$7</f>
        <v/>
      </c>
      <c r="E17" s="17">
        <f>E6*Inputs!$B$7</f>
        <v/>
      </c>
      <c r="F17" s="17">
        <f>F6*Inputs!$B$7</f>
        <v/>
      </c>
      <c r="G17" s="17">
        <f>G6*Inputs!$B$7</f>
        <v/>
      </c>
      <c r="H17" s="17">
        <f>H6*Inputs!$B$7</f>
        <v/>
      </c>
      <c r="I17" s="17">
        <f>I6*Inputs!$B$7</f>
        <v/>
      </c>
    </row>
    <row r="18">
      <c r="A18" s="4" t="inlineStr">
        <is>
          <t>Worst-case total COGS ($)</t>
        </is>
      </c>
      <c r="B18" s="17">
        <f>B15+B12+B16+B17</f>
        <v/>
      </c>
      <c r="C18" s="17">
        <f>C15+C12+C16+C17</f>
        <v/>
      </c>
      <c r="D18" s="17">
        <f>D15+D12+D16+D17</f>
        <v/>
      </c>
      <c r="E18" s="17">
        <f>E15+E12+E16+E17</f>
        <v/>
      </c>
      <c r="F18" s="17">
        <f>F15+F12+F16+F17</f>
        <v/>
      </c>
      <c r="G18" s="17">
        <f>G15+G12+G16+G17</f>
        <v/>
      </c>
      <c r="H18" s="17">
        <f>H15+H12+H16+H17</f>
        <v/>
      </c>
      <c r="I18" s="17">
        <f>I15+I12+I16+I17</f>
        <v/>
      </c>
    </row>
    <row r="19">
      <c r="A19" s="3" t="inlineStr">
        <is>
          <t>Worst-case gross margin</t>
        </is>
      </c>
      <c r="B19" s="18">
        <f>IF(B5=0,0,(B5-B18)/B5)</f>
        <v/>
      </c>
      <c r="C19" s="18">
        <f>IF(C5=0,0,(C5-C18)/C5)</f>
        <v/>
      </c>
      <c r="D19" s="18">
        <f>IF(D5=0,0,(D5-D18)/D5)</f>
        <v/>
      </c>
      <c r="E19" s="18">
        <f>IF(E5=0,0,(E5-E18)/E5)</f>
        <v/>
      </c>
      <c r="F19" s="18">
        <f>IF(F5=0,0,(F5-F18)/F5)</f>
        <v/>
      </c>
      <c r="G19" s="18">
        <f>IF(G5=0,0,(G5-G18)/G5)</f>
        <v/>
      </c>
      <c r="H19" s="18">
        <f>IF(H5=0,0,(H5-H18)/H5)</f>
        <v/>
      </c>
      <c r="I19" s="18">
        <f>IF(I5=0,0,(I5-I18)/I5)</f>
        <v/>
      </c>
    </row>
    <row r="20">
      <c r="A20" s="4" t="inlineStr">
        <is>
          <t>Typical AI COGS ($)</t>
        </is>
      </c>
      <c r="B20" s="17">
        <f>B6*B11*Inputs!$B$7</f>
        <v/>
      </c>
      <c r="C20" s="17">
        <f>C6*C11*Inputs!$B$7</f>
        <v/>
      </c>
      <c r="D20" s="17">
        <f>D6*D11*Inputs!$B$7</f>
        <v/>
      </c>
      <c r="E20" s="17">
        <f>E6*E11*Inputs!$B$7</f>
        <v/>
      </c>
      <c r="F20" s="17">
        <f>F6*F11*Inputs!$B$7</f>
        <v/>
      </c>
      <c r="G20" s="17">
        <f>G6*G11*Inputs!$B$7</f>
        <v/>
      </c>
      <c r="H20" s="17">
        <f>H6*H11*Inputs!$B$7</f>
        <v/>
      </c>
      <c r="I20" s="17">
        <f>I6*I11*Inputs!$B$7</f>
        <v/>
      </c>
    </row>
    <row r="21">
      <c r="A21" s="4" t="inlineStr">
        <is>
          <t>Typical total COGS ($)</t>
        </is>
      </c>
      <c r="B21" s="17">
        <f>B15+B12+B16+B20</f>
        <v/>
      </c>
      <c r="C21" s="17">
        <f>C15+C12+C16+C20</f>
        <v/>
      </c>
      <c r="D21" s="17">
        <f>D15+D12+D16+D20</f>
        <v/>
      </c>
      <c r="E21" s="17">
        <f>E15+E12+E16+E20</f>
        <v/>
      </c>
      <c r="F21" s="17">
        <f>F15+F12+F16+F20</f>
        <v/>
      </c>
      <c r="G21" s="17">
        <f>G15+G12+G16+G20</f>
        <v/>
      </c>
      <c r="H21" s="17">
        <f>H15+H12+H16+H20</f>
        <v/>
      </c>
      <c r="I21" s="17">
        <f>I15+I12+I16+I20</f>
        <v/>
      </c>
    </row>
    <row r="22">
      <c r="A22" s="3" t="inlineStr">
        <is>
          <t>Typical gross margin</t>
        </is>
      </c>
      <c r="B22" s="18">
        <f>IF(B5=0,0,(B5-B21)/B5)</f>
        <v/>
      </c>
      <c r="C22" s="18">
        <f>IF(C5=0,0,(C5-C21)/C5)</f>
        <v/>
      </c>
      <c r="D22" s="18">
        <f>IF(D5=0,0,(D5-D21)/D5)</f>
        <v/>
      </c>
      <c r="E22" s="18">
        <f>IF(E5=0,0,(E5-E21)/E5)</f>
        <v/>
      </c>
      <c r="F22" s="18">
        <f>IF(F5=0,0,(F5-F21)/F5)</f>
        <v/>
      </c>
      <c r="G22" s="18">
        <f>IF(G5=0,0,(G5-G21)/G5)</f>
        <v/>
      </c>
      <c r="H22" s="18">
        <f>IF(H5=0,0,(H5-H21)/H5)</f>
        <v/>
      </c>
      <c r="I22" s="18">
        <f>IF(I5=0,0,(I5-I21)/I5)</f>
        <v/>
      </c>
    </row>
    <row r="23">
      <c r="A23" s="3" t="inlineStr">
        <is>
          <t>Price needed for target margin (worst case)</t>
        </is>
      </c>
      <c r="B23" s="19">
        <f>(Inputs!$B$9+B12+B16+B17)/(1-Inputs!$B$10-Inputs!$B$8)</f>
        <v/>
      </c>
      <c r="C23" s="19">
        <f>(Inputs!$B$9+C12+C16+C17)/(1-Inputs!$B$10-Inputs!$B$8)</f>
        <v/>
      </c>
      <c r="D23" s="19">
        <f>(Inputs!$B$9+D12+D16+D17)/(1-Inputs!$B$10-Inputs!$B$8)</f>
        <v/>
      </c>
      <c r="E23" s="19">
        <f>(Inputs!$B$9+E12+E16+E17)/(1-Inputs!$B$10-Inputs!$B$8)</f>
        <v/>
      </c>
      <c r="F23" s="19">
        <f>(Inputs!$B$9+F12+F16+F17)/(1-Inputs!$B$10-Inputs!$B$8)</f>
        <v/>
      </c>
      <c r="G23" s="19">
        <f>(Inputs!$B$9+G12+G16+G17)/(1-Inputs!$B$10-Inputs!$B$8)</f>
        <v/>
      </c>
      <c r="H23" s="19">
        <f>(Inputs!$B$9+H12+H16+H17)/(1-Inputs!$B$10-Inputs!$B$8)</f>
        <v/>
      </c>
      <c r="I23" s="19">
        <f>(Inputs!$B$9+I12+I16+I17)/(1-Inputs!$B$10-Inputs!$B$8)</f>
        <v/>
      </c>
    </row>
    <row r="24">
      <c r="A24" s="3" t="inlineStr">
        <is>
          <t>Credits affordable at target margin (worst case)</t>
        </is>
      </c>
      <c r="B24" s="15">
        <f>ROUNDDOWN((B5*(1-Inputs!$B$10-Inputs!$B$8)-Inputs!$B$9-B12-B16)/Inputs!$B$7,-1)</f>
        <v/>
      </c>
      <c r="C24" s="15">
        <f>ROUNDDOWN((C5*(1-Inputs!$B$10-Inputs!$B$8)-Inputs!$B$9-C12-C16)/Inputs!$B$7,-1)</f>
        <v/>
      </c>
      <c r="D24" s="15">
        <f>ROUNDDOWN((D5*(1-Inputs!$B$10-Inputs!$B$8)-Inputs!$B$9-D12-D16)/Inputs!$B$7,-1)</f>
        <v/>
      </c>
      <c r="E24" s="15">
        <f>ROUNDDOWN((E5*(1-Inputs!$B$10-Inputs!$B$8)-Inputs!$B$9-E12-E16)/Inputs!$B$7,-1)</f>
        <v/>
      </c>
      <c r="F24" s="15">
        <f>ROUNDDOWN((F5*(1-Inputs!$B$10-Inputs!$B$8)-Inputs!$B$9-F12-F16)/Inputs!$B$7,-1)</f>
        <v/>
      </c>
      <c r="G24" s="15">
        <f>ROUNDDOWN((G5*(1-Inputs!$B$10-Inputs!$B$8)-Inputs!$B$9-G12-G16)/Inputs!$B$7,-1)</f>
        <v/>
      </c>
      <c r="H24" s="15">
        <f>ROUNDDOWN((H5*(1-Inputs!$B$10-Inputs!$B$8)-Inputs!$B$9-H12-H16)/Inputs!$B$7,-1)</f>
        <v/>
      </c>
      <c r="I24" s="15">
        <f>ROUNDDOWN((I5*(1-Inputs!$B$10-Inputs!$B$8)-Inputs!$B$9-I12-I16)/Inputs!$B$7,-1)</f>
        <v/>
      </c>
    </row>
    <row r="26">
      <c r="A26" s="3" t="inlineStr">
        <is>
          <t>Reading the sheet</t>
        </is>
      </c>
    </row>
    <row r="27">
      <c r="A27" s="6" t="inlineStr">
        <is>
          <t>Worst-case margin is the floor: a founder who burns the whole pool. Typical margin is what most founders will look like.</t>
        </is>
      </c>
    </row>
    <row r="28">
      <c r="A28" s="6" t="inlineStr">
        <is>
          <t>'Price needed' solves price so the worst-case margin equals the Inputs target. 'Credits affordable' holds price and solves the pool instead.</t>
        </is>
      </c>
    </row>
    <row r="29">
      <c r="A29" s="6" t="inlineStr">
        <is>
          <t>Extra agent seat and top-ups have no infra/overhead allocated; their margin is credits + Stripe only.</t>
        </is>
      </c>
    </row>
    <row r="30">
      <c r="A30" s="6" t="inlineStr">
        <is>
          <t>Extra team member: $5 covers one human seat's infra. Members share the workspace pool, so more members means faster pool burn and more top-ups — that is where the revenue is.</t>
        </is>
      </c>
    </row>
    <row r="31">
      <c r="A31" s="6" t="inlineStr">
        <is>
          <t>Not modelled: social aggregator per-profile fees ($1–5/profile/month), support cost, free-trial COGS, churn. Add rows if you adopt an aggregator.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Typical month by tier — usage mix</t>
        </is>
      </c>
    </row>
    <row r="2">
      <c r="A2" s="2" t="inlineStr">
        <is>
          <t>Blue = how many of each action a typical founder on that tier runs per month. Credits and COGS pull from Action Costs.</t>
        </is>
      </c>
    </row>
    <row r="4">
      <c r="A4" s="12" t="inlineStr">
        <is>
          <t>Action</t>
        </is>
      </c>
      <c r="B4" s="12" t="inlineStr">
        <is>
          <t>Solo count</t>
        </is>
      </c>
      <c r="C4" s="12" t="inlineStr">
        <is>
          <t>Startup count</t>
        </is>
      </c>
      <c r="D4" s="12" t="inlineStr">
        <is>
          <t>Enterprise count</t>
        </is>
      </c>
      <c r="E4" s="12" t="inlineStr">
        <is>
          <t>Solo credits</t>
        </is>
      </c>
      <c r="F4" s="12" t="inlineStr">
        <is>
          <t>Startup credits</t>
        </is>
      </c>
      <c r="G4" s="12" t="inlineStr">
        <is>
          <t>Enterprise credits</t>
        </is>
      </c>
      <c r="H4" s="12" t="inlineStr">
        <is>
          <t>Credits each</t>
        </is>
      </c>
      <c r="I4" s="12" t="inlineStr">
        <is>
          <t>COGS each ($)</t>
        </is>
      </c>
    </row>
    <row r="5">
      <c r="A5" s="4" t="inlineStr">
        <is>
          <t>Caption / short copy</t>
        </is>
      </c>
      <c r="B5" s="11" t="n">
        <v>20</v>
      </c>
      <c r="C5" s="11" t="n">
        <v>60</v>
      </c>
      <c r="D5" s="11" t="n">
        <v>200</v>
      </c>
      <c r="E5" s="16">
        <f>B5*$H5</f>
        <v/>
      </c>
      <c r="F5" s="16">
        <f>C5*$H5</f>
        <v/>
      </c>
      <c r="G5" s="16">
        <f>D5*$H5</f>
        <v/>
      </c>
      <c r="H5" s="20">
        <f>'Action Costs'!M6</f>
        <v/>
      </c>
      <c r="I5" s="21">
        <f>'Action Costs'!L6</f>
        <v/>
      </c>
    </row>
    <row r="6">
      <c r="A6" s="4" t="inlineStr">
        <is>
          <t>Product SEO refresh (per product)</t>
        </is>
      </c>
      <c r="B6" s="11" t="n">
        <v>50</v>
      </c>
      <c r="C6" s="11" t="n">
        <v>150</v>
      </c>
      <c r="D6" s="11" t="n">
        <v>500</v>
      </c>
      <c r="E6" s="16">
        <f>B6*$H6</f>
        <v/>
      </c>
      <c r="F6" s="16">
        <f>C6*$H6</f>
        <v/>
      </c>
      <c r="G6" s="16">
        <f>D6*$H6</f>
        <v/>
      </c>
      <c r="H6" s="20">
        <f>'Action Costs'!M7</f>
        <v/>
      </c>
      <c r="I6" s="21">
        <f>'Action Costs'!L7</f>
        <v/>
      </c>
    </row>
    <row r="7">
      <c r="A7" s="4" t="inlineStr">
        <is>
          <t>Blog post</t>
        </is>
      </c>
      <c r="B7" s="11" t="n">
        <v>4</v>
      </c>
      <c r="C7" s="11" t="n">
        <v>8</v>
      </c>
      <c r="D7" s="11" t="n">
        <v>20</v>
      </c>
      <c r="E7" s="16">
        <f>B7*$H7</f>
        <v/>
      </c>
      <c r="F7" s="16">
        <f>C7*$H7</f>
        <v/>
      </c>
      <c r="G7" s="16">
        <f>D7*$H7</f>
        <v/>
      </c>
      <c r="H7" s="20">
        <f>'Action Costs'!M8</f>
        <v/>
      </c>
      <c r="I7" s="21">
        <f>'Action Costs'!L8</f>
        <v/>
      </c>
    </row>
    <row r="8">
      <c r="A8" s="4" t="inlineStr">
        <is>
          <t>Designed social post</t>
        </is>
      </c>
      <c r="B8" s="11" t="n">
        <v>12</v>
      </c>
      <c r="C8" s="11" t="n">
        <v>30</v>
      </c>
      <c r="D8" s="11" t="n">
        <v>80</v>
      </c>
      <c r="E8" s="16">
        <f>B8*$H8</f>
        <v/>
      </c>
      <c r="F8" s="16">
        <f>C8*$H8</f>
        <v/>
      </c>
      <c r="G8" s="16">
        <f>D8*$H8</f>
        <v/>
      </c>
      <c r="H8" s="20">
        <f>'Action Costs'!M9</f>
        <v/>
      </c>
      <c r="I8" s="21">
        <f>'Action Costs'!L9</f>
        <v/>
      </c>
    </row>
    <row r="9">
      <c r="A9" s="4" t="inlineStr">
        <is>
          <t>Short video</t>
        </is>
      </c>
      <c r="B9" s="11" t="n">
        <v>2</v>
      </c>
      <c r="C9" s="11" t="n">
        <v>4</v>
      </c>
      <c r="D9" s="11" t="n">
        <v>12</v>
      </c>
      <c r="E9" s="16">
        <f>B9*$H9</f>
        <v/>
      </c>
      <c r="F9" s="16">
        <f>C9*$H9</f>
        <v/>
      </c>
      <c r="G9" s="16">
        <f>D9*$H9</f>
        <v/>
      </c>
      <c r="H9" s="20">
        <f>'Action Costs'!M10</f>
        <v/>
      </c>
      <c r="I9" s="21">
        <f>'Action Costs'!L10</f>
        <v/>
      </c>
    </row>
    <row r="10">
      <c r="A10" s="4" t="inlineStr">
        <is>
          <t>Code change (PR)</t>
        </is>
      </c>
      <c r="B10" s="11" t="n">
        <v>2</v>
      </c>
      <c r="C10" s="11" t="n">
        <v>4</v>
      </c>
      <c r="D10" s="11" t="n">
        <v>10</v>
      </c>
      <c r="E10" s="16">
        <f>B10*$H10</f>
        <v/>
      </c>
      <c r="F10" s="16">
        <f>C10*$H10</f>
        <v/>
      </c>
      <c r="G10" s="16">
        <f>D10*$H10</f>
        <v/>
      </c>
      <c r="H10" s="20">
        <f>'Action Costs'!M11</f>
        <v/>
      </c>
      <c r="I10" s="21">
        <f>'Action Costs'!L11</f>
        <v/>
      </c>
    </row>
    <row r="11">
      <c r="A11" s="3" t="inlineStr">
        <is>
          <t>Total credits used</t>
        </is>
      </c>
      <c r="E11" s="15">
        <f>SUM(E5:E10)</f>
        <v/>
      </c>
      <c r="F11" s="15">
        <f>SUM(F5:F10)</f>
        <v/>
      </c>
      <c r="G11" s="15">
        <f>SUM(G5:G10)</f>
        <v/>
      </c>
    </row>
    <row r="12">
      <c r="A12" s="4" t="inlineStr">
        <is>
          <t>Credits included (from Tiers)</t>
        </is>
      </c>
      <c r="E12" s="20">
        <f>Tiers!B6</f>
        <v/>
      </c>
      <c r="F12" s="20">
        <f>Tiers!C6</f>
        <v/>
      </c>
      <c r="G12" s="20">
        <f>Tiers!D6</f>
        <v/>
      </c>
    </row>
    <row r="13">
      <c r="A13" s="3" t="inlineStr">
        <is>
          <t>Pool used</t>
        </is>
      </c>
      <c r="E13" s="18">
        <f>IF(E12=0,0,E11/E12)</f>
        <v/>
      </c>
      <c r="F13" s="18">
        <f>IF(F12=0,0,F11/F12)</f>
        <v/>
      </c>
      <c r="G13" s="18">
        <f>IF(G12=0,0,G11/G12)</f>
        <v/>
      </c>
    </row>
    <row r="14">
      <c r="A14" s="4" t="inlineStr">
        <is>
          <t>Top-up credits needed (if over pool)</t>
        </is>
      </c>
      <c r="E14" s="16">
        <f>MAX(0,E11-E12)</f>
        <v/>
      </c>
      <c r="F14" s="16">
        <f>MAX(0,F11-F12)</f>
        <v/>
      </c>
      <c r="G14" s="16">
        <f>MAX(0,G11-G12)</f>
        <v/>
      </c>
    </row>
    <row r="15">
      <c r="A15" s="4" t="inlineStr">
        <is>
          <t>Team members on plan (from Tiers)</t>
        </is>
      </c>
      <c r="E15" s="20">
        <f>Tiers!B8</f>
        <v/>
      </c>
      <c r="F15" s="20">
        <f>Tiers!C8</f>
        <v/>
      </c>
      <c r="G15" s="20">
        <f>Tiers!D8</f>
        <v/>
      </c>
    </row>
    <row r="16">
      <c r="A16" s="3" t="inlineStr">
        <is>
          <t>Economics at this mix</t>
        </is>
      </c>
    </row>
    <row r="17">
      <c r="A17" s="4" t="inlineStr">
        <is>
          <t>Action COGS ($)</t>
        </is>
      </c>
      <c r="E17" s="17">
        <f>SUMPRODUCT(B5:B10,$I$5:$I$10)</f>
        <v/>
      </c>
      <c r="F17" s="17">
        <f>SUMPRODUCT(C5:C10,$I$5:$I$10)</f>
        <v/>
      </c>
      <c r="G17" s="17">
        <f>SUMPRODUCT(D5:D10,$I$5:$I$10)</f>
        <v/>
      </c>
    </row>
    <row r="18">
      <c r="A18" s="4" t="inlineStr">
        <is>
          <t>Overhead COGS ($)</t>
        </is>
      </c>
      <c r="E18" s="22">
        <f>Tiers!B16</f>
        <v/>
      </c>
      <c r="F18" s="22">
        <f>Tiers!C16</f>
        <v/>
      </c>
      <c r="G18" s="22">
        <f>Tiers!D16</f>
        <v/>
      </c>
    </row>
    <row r="19">
      <c r="A19" s="4" t="inlineStr">
        <is>
          <t>Stripe + infra ($)</t>
        </is>
      </c>
      <c r="E19" s="22">
        <f>Tiers!B15+Tiers!B12</f>
        <v/>
      </c>
      <c r="F19" s="22">
        <f>Tiers!C15+Tiers!C12</f>
        <v/>
      </c>
      <c r="G19" s="22">
        <f>Tiers!D15+Tiers!D12</f>
        <v/>
      </c>
    </row>
    <row r="20">
      <c r="A20" s="4" t="inlineStr">
        <is>
          <t>Top-up revenue if over pool ($)</t>
        </is>
      </c>
      <c r="E20" s="17">
        <f>E14*Inputs!$B$5</f>
        <v/>
      </c>
      <c r="F20" s="17">
        <f>F14*Inputs!$B$5</f>
        <v/>
      </c>
      <c r="G20" s="17">
        <f>G14*Inputs!$B$5</f>
        <v/>
      </c>
    </row>
    <row r="21">
      <c r="A21" s="4" t="inlineStr">
        <is>
          <t>Revenue ($)</t>
        </is>
      </c>
      <c r="E21" s="17">
        <f>Tiers!B5+E20</f>
        <v/>
      </c>
      <c r="F21" s="17">
        <f>Tiers!C5+F20</f>
        <v/>
      </c>
      <c r="G21" s="17">
        <f>Tiers!D5+G20</f>
        <v/>
      </c>
    </row>
    <row r="22">
      <c r="A22" s="4" t="inlineStr">
        <is>
          <t>Total COGS ($)</t>
        </is>
      </c>
      <c r="E22" s="17">
        <f>E17+E18+E19</f>
        <v/>
      </c>
      <c r="F22" s="17">
        <f>F17+F18+F19</f>
        <v/>
      </c>
      <c r="G22" s="17">
        <f>G17+G18+G19</f>
        <v/>
      </c>
    </row>
    <row r="23">
      <c r="A23" s="3" t="inlineStr">
        <is>
          <t>Gross margin at this mix</t>
        </is>
      </c>
      <c r="E23" s="18">
        <f>IF(E21=0,0,(E21-E22)/E21)</f>
        <v/>
      </c>
      <c r="F23" s="18">
        <f>IF(F21=0,0,(F21-F22)/F21)</f>
        <v/>
      </c>
      <c r="G23" s="18">
        <f>IF(G21=0,0,(G21-G22)/G21)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Solo worst-case margin: multiplier × credit pool</t>
        </is>
      </c>
    </row>
    <row r="2">
      <c r="A2" s="2" t="inlineStr">
        <is>
          <t>Uses Solo price, infra and overhead from Tiers. Rows = COGS multiplier, columns = credits included.</t>
        </is>
      </c>
    </row>
    <row r="4">
      <c r="A4" s="3" t="inlineStr">
        <is>
          <t>Multiplier ↓ / Pool →</t>
        </is>
      </c>
      <c r="B4" s="11" t="n">
        <v>500</v>
      </c>
      <c r="C4" s="11" t="n">
        <v>750</v>
      </c>
      <c r="D4" s="11" t="n">
        <v>1000</v>
      </c>
      <c r="E4" s="11" t="n">
        <v>1250</v>
      </c>
      <c r="F4" s="11" t="n">
        <v>1500</v>
      </c>
    </row>
    <row r="5">
      <c r="A5" s="7" t="n">
        <v>3</v>
      </c>
      <c r="B5" s="23">
        <f>(Tiers!$B$5-(Tiers!$B$5*Inputs!$B$8+Inputs!$B$9+Tiers!$B$12+Tiers!$B$16+B$4*Inputs!$B$5/$A5))/Tiers!$B$5</f>
        <v/>
      </c>
      <c r="C5" s="23">
        <f>(Tiers!$B$5-(Tiers!$B$5*Inputs!$B$8+Inputs!$B$9+Tiers!$B$12+Tiers!$B$16+C$4*Inputs!$B$5/$A5))/Tiers!$B$5</f>
        <v/>
      </c>
      <c r="D5" s="23">
        <f>(Tiers!$B$5-(Tiers!$B$5*Inputs!$B$8+Inputs!$B$9+Tiers!$B$12+Tiers!$B$16+D$4*Inputs!$B$5/$A5))/Tiers!$B$5</f>
        <v/>
      </c>
      <c r="E5" s="23">
        <f>(Tiers!$B$5-(Tiers!$B$5*Inputs!$B$8+Inputs!$B$9+Tiers!$B$12+Tiers!$B$16+E$4*Inputs!$B$5/$A5))/Tiers!$B$5</f>
        <v/>
      </c>
      <c r="F5" s="23">
        <f>(Tiers!$B$5-(Tiers!$B$5*Inputs!$B$8+Inputs!$B$9+Tiers!$B$12+Tiers!$B$16+F$4*Inputs!$B$5/$A5))/Tiers!$B$5</f>
        <v/>
      </c>
    </row>
    <row r="6">
      <c r="A6" s="7" t="n">
        <v>4</v>
      </c>
      <c r="B6" s="23">
        <f>(Tiers!$B$5-(Tiers!$B$5*Inputs!$B$8+Inputs!$B$9+Tiers!$B$12+Tiers!$B$16+B$4*Inputs!$B$5/$A6))/Tiers!$B$5</f>
        <v/>
      </c>
      <c r="C6" s="23">
        <f>(Tiers!$B$5-(Tiers!$B$5*Inputs!$B$8+Inputs!$B$9+Tiers!$B$12+Tiers!$B$16+C$4*Inputs!$B$5/$A6))/Tiers!$B$5</f>
        <v/>
      </c>
      <c r="D6" s="23">
        <f>(Tiers!$B$5-(Tiers!$B$5*Inputs!$B$8+Inputs!$B$9+Tiers!$B$12+Tiers!$B$16+D$4*Inputs!$B$5/$A6))/Tiers!$B$5</f>
        <v/>
      </c>
      <c r="E6" s="23">
        <f>(Tiers!$B$5-(Tiers!$B$5*Inputs!$B$8+Inputs!$B$9+Tiers!$B$12+Tiers!$B$16+E$4*Inputs!$B$5/$A6))/Tiers!$B$5</f>
        <v/>
      </c>
      <c r="F6" s="23">
        <f>(Tiers!$B$5-(Tiers!$B$5*Inputs!$B$8+Inputs!$B$9+Tiers!$B$12+Tiers!$B$16+F$4*Inputs!$B$5/$A6))/Tiers!$B$5</f>
        <v/>
      </c>
    </row>
    <row r="7">
      <c r="A7" s="7" t="n">
        <v>5</v>
      </c>
      <c r="B7" s="23">
        <f>(Tiers!$B$5-(Tiers!$B$5*Inputs!$B$8+Inputs!$B$9+Tiers!$B$12+Tiers!$B$16+B$4*Inputs!$B$5/$A7))/Tiers!$B$5</f>
        <v/>
      </c>
      <c r="C7" s="23">
        <f>(Tiers!$B$5-(Tiers!$B$5*Inputs!$B$8+Inputs!$B$9+Tiers!$B$12+Tiers!$B$16+C$4*Inputs!$B$5/$A7))/Tiers!$B$5</f>
        <v/>
      </c>
      <c r="D7" s="23">
        <f>(Tiers!$B$5-(Tiers!$B$5*Inputs!$B$8+Inputs!$B$9+Tiers!$B$12+Tiers!$B$16+D$4*Inputs!$B$5/$A7))/Tiers!$B$5</f>
        <v/>
      </c>
      <c r="E7" s="23">
        <f>(Tiers!$B$5-(Tiers!$B$5*Inputs!$B$8+Inputs!$B$9+Tiers!$B$12+Tiers!$B$16+E$4*Inputs!$B$5/$A7))/Tiers!$B$5</f>
        <v/>
      </c>
      <c r="F7" s="23">
        <f>(Tiers!$B$5-(Tiers!$B$5*Inputs!$B$8+Inputs!$B$9+Tiers!$B$12+Tiers!$B$16+F$4*Inputs!$B$5/$A7))/Tiers!$B$5</f>
        <v/>
      </c>
    </row>
    <row r="8">
      <c r="A8" s="7" t="n">
        <v>6</v>
      </c>
      <c r="B8" s="23">
        <f>(Tiers!$B$5-(Tiers!$B$5*Inputs!$B$8+Inputs!$B$9+Tiers!$B$12+Tiers!$B$16+B$4*Inputs!$B$5/$A8))/Tiers!$B$5</f>
        <v/>
      </c>
      <c r="C8" s="23">
        <f>(Tiers!$B$5-(Tiers!$B$5*Inputs!$B$8+Inputs!$B$9+Tiers!$B$12+Tiers!$B$16+C$4*Inputs!$B$5/$A8))/Tiers!$B$5</f>
        <v/>
      </c>
      <c r="D8" s="23">
        <f>(Tiers!$B$5-(Tiers!$B$5*Inputs!$B$8+Inputs!$B$9+Tiers!$B$12+Tiers!$B$16+D$4*Inputs!$B$5/$A8))/Tiers!$B$5</f>
        <v/>
      </c>
      <c r="E8" s="23">
        <f>(Tiers!$B$5-(Tiers!$B$5*Inputs!$B$8+Inputs!$B$9+Tiers!$B$12+Tiers!$B$16+E$4*Inputs!$B$5/$A8))/Tiers!$B$5</f>
        <v/>
      </c>
      <c r="F8" s="23">
        <f>(Tiers!$B$5-(Tiers!$B$5*Inputs!$B$8+Inputs!$B$9+Tiers!$B$12+Tiers!$B$16+F$4*Inputs!$B$5/$A8))/Tiers!$B$5</f>
        <v/>
      </c>
    </row>
    <row r="9">
      <c r="A9" s="7" t="n">
        <v>7</v>
      </c>
      <c r="B9" s="23">
        <f>(Tiers!$B$5-(Tiers!$B$5*Inputs!$B$8+Inputs!$B$9+Tiers!$B$12+Tiers!$B$16+B$4*Inputs!$B$5/$A9))/Tiers!$B$5</f>
        <v/>
      </c>
      <c r="C9" s="23">
        <f>(Tiers!$B$5-(Tiers!$B$5*Inputs!$B$8+Inputs!$B$9+Tiers!$B$12+Tiers!$B$16+C$4*Inputs!$B$5/$A9))/Tiers!$B$5</f>
        <v/>
      </c>
      <c r="D9" s="23">
        <f>(Tiers!$B$5-(Tiers!$B$5*Inputs!$B$8+Inputs!$B$9+Tiers!$B$12+Tiers!$B$16+D$4*Inputs!$B$5/$A9))/Tiers!$B$5</f>
        <v/>
      </c>
      <c r="E9" s="23">
        <f>(Tiers!$B$5-(Tiers!$B$5*Inputs!$B$8+Inputs!$B$9+Tiers!$B$12+Tiers!$B$16+E$4*Inputs!$B$5/$A9))/Tiers!$B$5</f>
        <v/>
      </c>
      <c r="F9" s="23">
        <f>(Tiers!$B$5-(Tiers!$B$5*Inputs!$B$8+Inputs!$B$9+Tiers!$B$12+Tiers!$B$16+F$4*Inputs!$B$5/$A9))/Tiers!$B$5</f>
        <v/>
      </c>
    </row>
    <row r="12">
      <c r="A12" s="1" t="inlineStr">
        <is>
          <t>Solo price needed for target margin: multiplier × pool</t>
        </is>
      </c>
    </row>
    <row r="14">
      <c r="A14" s="3" t="inlineStr">
        <is>
          <t>Multiplier ↓ / Pool →</t>
        </is>
      </c>
      <c r="B14" s="16">
        <f>B4</f>
        <v/>
      </c>
      <c r="C14" s="16">
        <f>C4</f>
        <v/>
      </c>
      <c r="D14" s="16">
        <f>D4</f>
        <v/>
      </c>
      <c r="E14" s="16">
        <f>E4</f>
        <v/>
      </c>
      <c r="F14" s="16">
        <f>F4</f>
        <v/>
      </c>
    </row>
    <row r="15">
      <c r="A15" s="24">
        <f>A5</f>
        <v/>
      </c>
      <c r="B15" s="17">
        <f>(Inputs!$B$9+Tiers!$B$12+Tiers!$B$16+B$14*Inputs!$B$5/$A15)/(1-Inputs!$B$10-Inputs!$B$8)</f>
        <v/>
      </c>
      <c r="C15" s="17">
        <f>(Inputs!$B$9+Tiers!$B$12+Tiers!$B$16+C$14*Inputs!$B$5/$A15)/(1-Inputs!$B$10-Inputs!$B$8)</f>
        <v/>
      </c>
      <c r="D15" s="17">
        <f>(Inputs!$B$9+Tiers!$B$12+Tiers!$B$16+D$14*Inputs!$B$5/$A15)/(1-Inputs!$B$10-Inputs!$B$8)</f>
        <v/>
      </c>
      <c r="E15" s="17">
        <f>(Inputs!$B$9+Tiers!$B$12+Tiers!$B$16+E$14*Inputs!$B$5/$A15)/(1-Inputs!$B$10-Inputs!$B$8)</f>
        <v/>
      </c>
      <c r="F15" s="17">
        <f>(Inputs!$B$9+Tiers!$B$12+Tiers!$B$16+F$14*Inputs!$B$5/$A15)/(1-Inputs!$B$10-Inputs!$B$8)</f>
        <v/>
      </c>
    </row>
    <row r="16">
      <c r="A16" s="24">
        <f>A6</f>
        <v/>
      </c>
      <c r="B16" s="17">
        <f>(Inputs!$B$9+Tiers!$B$12+Tiers!$B$16+B$14*Inputs!$B$5/$A16)/(1-Inputs!$B$10-Inputs!$B$8)</f>
        <v/>
      </c>
      <c r="C16" s="17">
        <f>(Inputs!$B$9+Tiers!$B$12+Tiers!$B$16+C$14*Inputs!$B$5/$A16)/(1-Inputs!$B$10-Inputs!$B$8)</f>
        <v/>
      </c>
      <c r="D16" s="17">
        <f>(Inputs!$B$9+Tiers!$B$12+Tiers!$B$16+D$14*Inputs!$B$5/$A16)/(1-Inputs!$B$10-Inputs!$B$8)</f>
        <v/>
      </c>
      <c r="E16" s="17">
        <f>(Inputs!$B$9+Tiers!$B$12+Tiers!$B$16+E$14*Inputs!$B$5/$A16)/(1-Inputs!$B$10-Inputs!$B$8)</f>
        <v/>
      </c>
      <c r="F16" s="17">
        <f>(Inputs!$B$9+Tiers!$B$12+Tiers!$B$16+F$14*Inputs!$B$5/$A16)/(1-Inputs!$B$10-Inputs!$B$8)</f>
        <v/>
      </c>
    </row>
    <row r="17">
      <c r="A17" s="24">
        <f>A7</f>
        <v/>
      </c>
      <c r="B17" s="17">
        <f>(Inputs!$B$9+Tiers!$B$12+Tiers!$B$16+B$14*Inputs!$B$5/$A17)/(1-Inputs!$B$10-Inputs!$B$8)</f>
        <v/>
      </c>
      <c r="C17" s="17">
        <f>(Inputs!$B$9+Tiers!$B$12+Tiers!$B$16+C$14*Inputs!$B$5/$A17)/(1-Inputs!$B$10-Inputs!$B$8)</f>
        <v/>
      </c>
      <c r="D17" s="17">
        <f>(Inputs!$B$9+Tiers!$B$12+Tiers!$B$16+D$14*Inputs!$B$5/$A17)/(1-Inputs!$B$10-Inputs!$B$8)</f>
        <v/>
      </c>
      <c r="E17" s="17">
        <f>(Inputs!$B$9+Tiers!$B$12+Tiers!$B$16+E$14*Inputs!$B$5/$A17)/(1-Inputs!$B$10-Inputs!$B$8)</f>
        <v/>
      </c>
      <c r="F17" s="17">
        <f>(Inputs!$B$9+Tiers!$B$12+Tiers!$B$16+F$14*Inputs!$B$5/$A17)/(1-Inputs!$B$10-Inputs!$B$8)</f>
        <v/>
      </c>
    </row>
    <row r="18">
      <c r="A18" s="24">
        <f>A8</f>
        <v/>
      </c>
      <c r="B18" s="17">
        <f>(Inputs!$B$9+Tiers!$B$12+Tiers!$B$16+B$14*Inputs!$B$5/$A18)/(1-Inputs!$B$10-Inputs!$B$8)</f>
        <v/>
      </c>
      <c r="C18" s="17">
        <f>(Inputs!$B$9+Tiers!$B$12+Tiers!$B$16+C$14*Inputs!$B$5/$A18)/(1-Inputs!$B$10-Inputs!$B$8)</f>
        <v/>
      </c>
      <c r="D18" s="17">
        <f>(Inputs!$B$9+Tiers!$B$12+Tiers!$B$16+D$14*Inputs!$B$5/$A18)/(1-Inputs!$B$10-Inputs!$B$8)</f>
        <v/>
      </c>
      <c r="E18" s="17">
        <f>(Inputs!$B$9+Tiers!$B$12+Tiers!$B$16+E$14*Inputs!$B$5/$A18)/(1-Inputs!$B$10-Inputs!$B$8)</f>
        <v/>
      </c>
      <c r="F18" s="17">
        <f>(Inputs!$B$9+Tiers!$B$12+Tiers!$B$16+F$14*Inputs!$B$5/$A18)/(1-Inputs!$B$10-Inputs!$B$8)</f>
        <v/>
      </c>
    </row>
    <row r="19">
      <c r="A19" s="24">
        <f>A9</f>
        <v/>
      </c>
      <c r="B19" s="17">
        <f>(Inputs!$B$9+Tiers!$B$12+Tiers!$B$16+B$14*Inputs!$B$5/$A19)/(1-Inputs!$B$10-Inputs!$B$8)</f>
        <v/>
      </c>
      <c r="C19" s="17">
        <f>(Inputs!$B$9+Tiers!$B$12+Tiers!$B$16+C$14*Inputs!$B$5/$A19)/(1-Inputs!$B$10-Inputs!$B$8)</f>
        <v/>
      </c>
      <c r="D19" s="17">
        <f>(Inputs!$B$9+Tiers!$B$12+Tiers!$B$16+D$14*Inputs!$B$5/$A19)/(1-Inputs!$B$10-Inputs!$B$8)</f>
        <v/>
      </c>
      <c r="E19" s="17">
        <f>(Inputs!$B$9+Tiers!$B$12+Tiers!$B$16+E$14*Inputs!$B$5/$A19)/(1-Inputs!$B$10-Inputs!$B$8)</f>
        <v/>
      </c>
      <c r="F19" s="17">
        <f>(Inputs!$B$9+Tiers!$B$12+Tiers!$B$16+F$14*Inputs!$B$5/$A19)/(1-Inputs!$B$10-Inputs!$B$8)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model</t>
        </is>
      </c>
    </row>
    <row r="2">
      <c r="A2" s="4" t="inlineStr">
        <is>
          <t>1. Inputs: set credit price, multiplier, Stripe, model rates, media costs, and the overhead model. Blue/yellow cells only.</t>
        </is>
      </c>
    </row>
    <row r="3">
      <c r="A3" s="4" t="inlineStr">
        <is>
          <t>2. Action Costs: tune token assumptions per action. Credits = ROUNDUP(COGS ÷ credit COGS). These rows seed the pricing_rules table in Kinika.</t>
        </is>
      </c>
    </row>
    <row r="4">
      <c r="A4" s="4" t="inlineStr">
        <is>
          <t>3. Tiers: set price, included credits, infra and overhead per tier. Read worst-case and typical margins, and the price/pool needed to hit target.</t>
        </is>
      </c>
    </row>
    <row r="5">
      <c r="A5" s="4" t="inlineStr">
        <is>
          <t>4. Typical Month: describe a realistic usage mix per tier and see pool consumption, top-up revenue and blended margin.</t>
        </is>
      </c>
    </row>
    <row r="6">
      <c r="A6" s="4" t="inlineStr">
        <is>
          <t>5. Sensitivity: Solo margin and required price across multiplier × pool. Change Solo price on Tiers and this updates.</t>
        </is>
      </c>
    </row>
    <row r="7">
      <c r="A7" s="4" t="inlineStr"/>
    </row>
    <row r="8">
      <c r="A8" s="4" t="inlineStr">
        <is>
          <t>Colour code: blue text on yellow = editable input. Black = formula. Green = link from another sheet.</t>
        </is>
      </c>
    </row>
    <row r="9">
      <c r="A9" s="4" t="inlineStr">
        <is>
          <t>Sources: Anthropic first-party model pricing (Sept 2026). DeepInfra Llama rate from team note. Image/video costs are estimates — replace with your provider's rates.</t>
        </is>
      </c>
    </row>
    <row r="10">
      <c r="A10" s="4" t="inlineStr">
        <is>
          <t>Not modelled: social aggregator fees, support headcount, free-trial COGS, churn/LTV, annual-plan discounts.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2026-10-06T17:23:34Z</dcterms:created>
  <dcterms:modified xmlns:dcterms="http://purl.org/dc/terms/" xmlns:xsi="http://www.w3.org/2001/XMLSchema-instance" xsi:type="dcterms:W3CDTF">2026-10-06T17:23:34Z</dcterms:modified>
</cp:coreProperties>
</file>